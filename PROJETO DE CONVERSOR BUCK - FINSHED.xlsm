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Usuario\OneDrive\Área de Trabalho\Engenharia Elétrica\IC-MICRORREDES\Atividades\"/>
    </mc:Choice>
  </mc:AlternateContent>
  <bookViews>
    <workbookView xWindow="0" yWindow="0" windowWidth="11655" windowHeight="4575"/>
  </bookViews>
  <sheets>
    <sheet name="Planilh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9" i="1" l="1"/>
  <c r="C19" i="1"/>
  <c r="J15" i="1"/>
  <c r="I15" i="1" l="1"/>
  <c r="C15" i="1" l="1"/>
  <c r="B19" i="1" s="1"/>
  <c r="D19" i="1" s="1"/>
  <c r="E19" i="1" s="1"/>
  <c r="E15" i="1"/>
  <c r="F15" i="1"/>
  <c r="I19" i="1" s="1"/>
  <c r="B15" i="1"/>
  <c r="D15" i="1" l="1"/>
  <c r="G15" i="1"/>
  <c r="H15" i="1" l="1"/>
  <c r="F19" i="1"/>
</calcChain>
</file>

<file path=xl/sharedStrings.xml><?xml version="1.0" encoding="utf-8"?>
<sst xmlns="http://schemas.openxmlformats.org/spreadsheetml/2006/main" count="27" uniqueCount="24">
  <si>
    <t>Projeto de Conversor Buck - MICRORREDES</t>
  </si>
  <si>
    <t>PARÂMETROS DO CONVERSOR</t>
  </si>
  <si>
    <t>VALORES</t>
  </si>
  <si>
    <t>Ondulação na tensão</t>
  </si>
  <si>
    <t>Tensão de entrada (V)</t>
  </si>
  <si>
    <t>Tensão de saída (V)</t>
  </si>
  <si>
    <t>Corrente de saída (A)</t>
  </si>
  <si>
    <t>Frequência de chaveamento (Hz)</t>
  </si>
  <si>
    <t xml:space="preserve">Ondulação na corrente </t>
  </si>
  <si>
    <t>POTÊNCIA DE SAÍDA (W)</t>
  </si>
  <si>
    <t>DUTY CYCLE</t>
  </si>
  <si>
    <t>Ton (s)</t>
  </si>
  <si>
    <t>TENSÃO NO INDUTOR (V)</t>
  </si>
  <si>
    <t>VALOR DO INDUTOR (mH)</t>
  </si>
  <si>
    <t>VALOR DO CAPACITOR (uF)</t>
  </si>
  <si>
    <t>FREQUÊNCIA DE CORTE (Hz)</t>
  </si>
  <si>
    <t>INDUTÂNCIA CRÍTICA (mH)</t>
  </si>
  <si>
    <t xml:space="preserve">CORRENTE DE ENTRADA </t>
  </si>
  <si>
    <t>CAPACITOR DE ENTRADA (uF)</t>
  </si>
  <si>
    <t>INDUTOR DE ENTRADA (uH)</t>
  </si>
  <si>
    <t xml:space="preserve">FREQUÊNCIA DE RESSONÂNCIA DE ENTRADA </t>
  </si>
  <si>
    <t xml:space="preserve">FREQUÊNCIA DE RESSONÂNCIA DE SAÍDA </t>
  </si>
  <si>
    <t>VALOR COMERCIAL DO CAPACITOR (uF)</t>
  </si>
  <si>
    <t>∆V0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</si>
</sst>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</font>
    <font>
      <sz val="11"/>
      <name val="Calibri"/>
      <family val="2"/>
    </font>
    <font>
      <sz val="26"/>
      <color theme="0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indexed="51"/>
      <name val="Calibri"/>
      <family val="2"/>
      <scheme val="minor"/>
    </font>
    <font>
      <b/>
      <sz val="11"/>
      <color indexed="17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</fills>
  <borders count="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249977111117893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9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0" fontId="8" fillId="9" borderId="0" applyNumberFormat="0" applyBorder="0" applyAlignment="0" applyProtection="0"/>
  </cellStyleXfs>
  <cellXfs count="36">
    <xf numFmtId="0" fontId="0" fillId="0" borderId="0" xfId="0"/>
    <xf numFmtId="0" fontId="0" fillId="0" borderId="3" xfId="0" applyBorder="1"/>
    <xf numFmtId="0" fontId="3" fillId="2" borderId="0" xfId="0" applyFont="1" applyFill="1" applyBorder="1"/>
    <xf numFmtId="0" fontId="2" fillId="2" borderId="0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0" xfId="0" applyFont="1" applyFill="1" applyBorder="1"/>
    <xf numFmtId="0" fontId="1" fillId="2" borderId="5" xfId="0" applyFont="1" applyFill="1" applyBorder="1" applyAlignment="1">
      <alignment horizontal="center" vertical="center" wrapText="1"/>
    </xf>
    <xf numFmtId="0" fontId="0" fillId="0" borderId="6" xfId="0" applyBorder="1"/>
    <xf numFmtId="0" fontId="1" fillId="2" borderId="8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0" fillId="0" borderId="7" xfId="0" applyBorder="1"/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9" fontId="0" fillId="0" borderId="3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1" fontId="7" fillId="0" borderId="2" xfId="0" applyNumberFormat="1" applyFont="1" applyBorder="1" applyAlignment="1">
      <alignment horizontal="center" vertical="center"/>
    </xf>
    <xf numFmtId="0" fontId="7" fillId="0" borderId="2" xfId="0" applyNumberFormat="1" applyFont="1" applyFill="1" applyBorder="1" applyAlignment="1">
      <alignment horizontal="center" vertical="center"/>
    </xf>
    <xf numFmtId="11" fontId="7" fillId="0" borderId="3" xfId="0" applyNumberFormat="1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1" fontId="7" fillId="5" borderId="7" xfId="0" applyNumberFormat="1" applyFont="1" applyFill="1" applyBorder="1" applyAlignment="1">
      <alignment horizontal="center" vertical="center"/>
    </xf>
    <xf numFmtId="0" fontId="1" fillId="3" borderId="8" xfId="1" applyFont="1" applyBorder="1" applyAlignment="1">
      <alignment horizontal="center" vertical="center" wrapText="1"/>
    </xf>
    <xf numFmtId="0" fontId="8" fillId="4" borderId="0" xfId="2"/>
    <xf numFmtId="0" fontId="9" fillId="8" borderId="7" xfId="5" applyBorder="1" applyAlignment="1">
      <alignment horizontal="center" vertical="center" wrapText="1"/>
    </xf>
    <xf numFmtId="0" fontId="8" fillId="9" borderId="0" xfId="6"/>
    <xf numFmtId="0" fontId="1" fillId="6" borderId="8" xfId="3" applyFont="1" applyBorder="1" applyAlignment="1">
      <alignment horizontal="center" vertical="center" wrapText="1"/>
    </xf>
    <xf numFmtId="0" fontId="1" fillId="8" borderId="8" xfId="5" applyFont="1" applyBorder="1" applyAlignment="1">
      <alignment horizontal="center" vertical="center" wrapText="1"/>
    </xf>
    <xf numFmtId="0" fontId="6" fillId="7" borderId="0" xfId="4" applyFont="1"/>
    <xf numFmtId="0" fontId="7" fillId="4" borderId="2" xfId="2" applyFont="1" applyBorder="1" applyAlignment="1">
      <alignment horizontal="center" vertical="center"/>
    </xf>
    <xf numFmtId="0" fontId="6" fillId="9" borderId="7" xfId="6" applyNumberFormat="1" applyFont="1" applyBorder="1" applyAlignment="1">
      <alignment horizontal="center" vertical="center"/>
    </xf>
    <xf numFmtId="0" fontId="6" fillId="9" borderId="0" xfId="6" applyNumberFormat="1" applyFont="1"/>
  </cellXfs>
  <cellStyles count="7">
    <cellStyle name="20% - Ênfase1" xfId="4" builtinId="30"/>
    <cellStyle name="20% - Ênfase4" xfId="2" builtinId="42"/>
    <cellStyle name="40% - Ênfase6" xfId="6" builtinId="51"/>
    <cellStyle name="Ênfase1" xfId="3" builtinId="29"/>
    <cellStyle name="Ênfase4" xfId="1" builtinId="41"/>
    <cellStyle name="Ênfase6" xfId="5" builtinId="49"/>
    <cellStyle name="Normal" xfId="0" builtinId="0"/>
  </cellStyles>
  <dxfs count="28"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5" formatCode="0.00E+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numFmt numFmtId="15" formatCode="0.00E+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5" formatCode="0.00E+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5" formatCode="0.00E+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9525</xdr:rowOff>
        </xdr:from>
        <xdr:to>
          <xdr:col>2</xdr:col>
          <xdr:colOff>523875</xdr:colOff>
          <xdr:row>25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CC00"/>
                  </a:solidFill>
                  <a:latin typeface="Calibri"/>
                  <a:cs typeface="Calibri"/>
                </a:rPr>
                <a:t>CALCULAR VALOR COMERCIAL DO CAPACITOR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4</xdr:col>
          <xdr:colOff>419100</xdr:colOff>
          <xdr:row>25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CALCULAR VALOR COMERCIAL DO CAPACITOR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752475</xdr:colOff>
      <xdr:row>2</xdr:row>
      <xdr:rowOff>352424</xdr:rowOff>
    </xdr:from>
    <xdr:to>
      <xdr:col>9</xdr:col>
      <xdr:colOff>130506</xdr:colOff>
      <xdr:row>8</xdr:row>
      <xdr:rowOff>323849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67200" y="1304924"/>
          <a:ext cx="6893256" cy="187642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ela1" displayName="Tabela1" ref="B5:C10" headerRowCount="0" totalsRowShown="0" headerRowDxfId="27" dataDxfId="26" tableBorderDxfId="25" headerRowCellStyle="Normal" dataCellStyle="Normal">
  <tableColumns count="2">
    <tableColumn id="1" name="Coluna1" headerRowDxfId="24" dataDxfId="23" dataCellStyle="Normal"/>
    <tableColumn id="2" name="Coluna2" headerRowDxfId="22" dataDxfId="21" dataCellStyle="Norma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B15:J15" headerRowCount="0" totalsRowShown="0" headerRowDxfId="20" dataDxfId="19" tableBorderDxfId="18">
  <tableColumns count="9">
    <tableColumn id="1" name="Coluna1" headerRowDxfId="17" dataDxfId="16">
      <calculatedColumnFormula>C6*C7</calculatedColumnFormula>
    </tableColumn>
    <tableColumn id="2" name="Coluna2" headerRowDxfId="15" dataDxfId="14">
      <calculatedColumnFormula>C6/C5</calculatedColumnFormula>
    </tableColumn>
    <tableColumn id="3" name="Coluna3" headerRowDxfId="13" dataDxfId="12">
      <calculatedColumnFormula>Tabela3[[#All],[Coluna2]]*(2*10^-4)</calculatedColumnFormula>
    </tableColumn>
    <tableColumn id="4" name="Coluna4" headerRowDxfId="11" dataDxfId="10">
      <calculatedColumnFormula>C5-C6</calculatedColumnFormula>
    </tableColumn>
    <tableColumn id="5" name="Coluna5" headerRowDxfId="9" dataDxfId="8">
      <calculatedColumnFormula>(C5/(4*C8*(C9/100)*C7))/100</calculatedColumnFormula>
    </tableColumn>
    <tableColumn id="6" name="Coluna6" headerRowDxfId="7" dataDxfId="6">
      <calculatedColumnFormula>(C5/(31*Tabela3[[#All],[Coluna5]]*(C8^2)*C10*C6))</calculatedColumnFormula>
    </tableColumn>
    <tableColumn id="7" name="Coluna7" headerRowDxfId="5" dataDxfId="4">
      <calculatedColumnFormula>1/(2*PI()*(SQRT(Tabela3[[#All],[Coluna5]]*Tabela3[[#All],[Coluna6]])))</calculatedColumnFormula>
    </tableColumn>
    <tableColumn id="8" name="Coluna8" headerRowDxfId="3" dataDxfId="1">
      <calculatedColumnFormula>(C5/(8*C8*4.104))</calculatedColumnFormula>
    </tableColumn>
    <tableColumn id="9" name="Coluna9" headerRowDxfId="2" dataDxfId="0" dataCellStyle="20% - Ênfase4">
      <calculatedColumnFormula>LEFT(Tabela3[[#All],[Coluna6]],3)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J19"/>
  <sheetViews>
    <sheetView tabSelected="1" topLeftCell="A16" zoomScaleNormal="100" workbookViewId="0">
      <selection activeCell="E21" sqref="E21"/>
    </sheetView>
  </sheetViews>
  <sheetFormatPr defaultRowHeight="15" x14ac:dyDescent="0.25"/>
  <cols>
    <col min="1" max="1" width="17.7109375" customWidth="1"/>
    <col min="2" max="2" width="18.7109375" customWidth="1"/>
    <col min="3" max="3" width="16.28515625" customWidth="1"/>
    <col min="4" max="4" width="20.28515625" customWidth="1"/>
    <col min="5" max="5" width="23.85546875" customWidth="1"/>
    <col min="6" max="6" width="21" customWidth="1"/>
    <col min="7" max="7" width="15.85546875" customWidth="1"/>
    <col min="8" max="8" width="16.140625" customWidth="1"/>
    <col min="9" max="9" width="15.5703125" customWidth="1"/>
    <col min="10" max="10" width="20.28515625" customWidth="1"/>
    <col min="11" max="11" width="19.28515625" customWidth="1"/>
    <col min="12" max="12" width="13.28515625" customWidth="1"/>
    <col min="13" max="13" width="17.7109375" customWidth="1"/>
    <col min="14" max="14" width="15.5703125" customWidth="1"/>
  </cols>
  <sheetData>
    <row r="1" spans="1:10" s="2" customFormat="1" ht="60" customHeight="1" x14ac:dyDescent="0.25">
      <c r="A1" s="3"/>
      <c r="C1" s="4" t="s">
        <v>0</v>
      </c>
      <c r="D1" s="5"/>
      <c r="E1" s="5"/>
      <c r="F1" s="6"/>
      <c r="G1" s="6"/>
    </row>
    <row r="3" spans="1:10" ht="30" x14ac:dyDescent="0.25">
      <c r="B3" s="14" t="s">
        <v>1</v>
      </c>
      <c r="C3" s="13" t="s">
        <v>2</v>
      </c>
    </row>
    <row r="4" spans="1:10" x14ac:dyDescent="0.25">
      <c r="B4" s="1"/>
      <c r="C4" s="8"/>
    </row>
    <row r="5" spans="1:10" ht="30" x14ac:dyDescent="0.25">
      <c r="B5" s="17" t="s">
        <v>4</v>
      </c>
      <c r="C5" s="16">
        <v>120</v>
      </c>
    </row>
    <row r="6" spans="1:10" x14ac:dyDescent="0.25">
      <c r="B6" s="15" t="s">
        <v>5</v>
      </c>
      <c r="C6" s="16">
        <v>50</v>
      </c>
    </row>
    <row r="7" spans="1:10" ht="30" x14ac:dyDescent="0.25">
      <c r="B7" s="17" t="s">
        <v>6</v>
      </c>
      <c r="C7" s="16">
        <v>13.5</v>
      </c>
    </row>
    <row r="8" spans="1:10" ht="30" x14ac:dyDescent="0.25">
      <c r="B8" s="17" t="s">
        <v>7</v>
      </c>
      <c r="C8" s="16">
        <v>5000</v>
      </c>
    </row>
    <row r="9" spans="1:10" ht="30" x14ac:dyDescent="0.25">
      <c r="B9" s="17" t="s">
        <v>8</v>
      </c>
      <c r="C9" s="18">
        <v>0.1</v>
      </c>
    </row>
    <row r="10" spans="1:10" ht="30" x14ac:dyDescent="0.25">
      <c r="B10" s="17" t="s">
        <v>3</v>
      </c>
      <c r="C10" s="18">
        <v>0.02</v>
      </c>
    </row>
    <row r="13" spans="1:10" ht="30" x14ac:dyDescent="0.25">
      <c r="B13" s="7" t="s">
        <v>9</v>
      </c>
      <c r="C13" s="9" t="s">
        <v>10</v>
      </c>
      <c r="D13" s="9" t="s">
        <v>11</v>
      </c>
      <c r="E13" s="10" t="s">
        <v>12</v>
      </c>
      <c r="F13" s="10" t="s">
        <v>13</v>
      </c>
      <c r="G13" s="26" t="s">
        <v>14</v>
      </c>
      <c r="H13" s="10" t="s">
        <v>15</v>
      </c>
      <c r="I13" s="11" t="s">
        <v>16</v>
      </c>
      <c r="J13" s="26" t="s">
        <v>14</v>
      </c>
    </row>
    <row r="14" spans="1:10" x14ac:dyDescent="0.25">
      <c r="B14" s="12"/>
    </row>
    <row r="15" spans="1:10" x14ac:dyDescent="0.25">
      <c r="B15" s="19">
        <f>C6*C7</f>
        <v>675</v>
      </c>
      <c r="C15" s="20">
        <f>C6/C5</f>
        <v>0.41666666666666669</v>
      </c>
      <c r="D15" s="20">
        <f>Tabela3[[#All],[Coluna2]]*(2*10^-4)</f>
        <v>8.3333333333333344E-5</v>
      </c>
      <c r="E15" s="20">
        <f>C5-C6</f>
        <v>70</v>
      </c>
      <c r="F15" s="21">
        <f>(C5/(4*C8*(C9/100)*C7))/100</f>
        <v>4.4444444444444444E-3</v>
      </c>
      <c r="G15" s="19">
        <f>(C5/(31*Tabela3[[#All],[Coluna5]]*(C8^2)*C10*C6))</f>
        <v>3.4838709677419357E-5</v>
      </c>
      <c r="H15" s="22">
        <f>1/(2*PI()*(SQRT(Tabela3[[#All],[Coluna5]]*Tabela3[[#All],[Coluna6]])))</f>
        <v>404.46445384301023</v>
      </c>
      <c r="I15" s="23">
        <f>(C5/(8*C8*4.104))</f>
        <v>7.3099415204678359E-4</v>
      </c>
      <c r="J15" s="33" t="str">
        <f>LEFT(Tabela3[[#All],[Coluna6]],3)</f>
        <v>3,4</v>
      </c>
    </row>
    <row r="17" spans="2:10" ht="45" x14ac:dyDescent="0.25">
      <c r="B17" s="14" t="s">
        <v>17</v>
      </c>
      <c r="C17" s="28" t="s">
        <v>18</v>
      </c>
      <c r="D17" s="14" t="s">
        <v>19</v>
      </c>
      <c r="E17" s="14" t="s">
        <v>20</v>
      </c>
      <c r="F17" s="14" t="s">
        <v>21</v>
      </c>
      <c r="G17" s="26" t="s">
        <v>22</v>
      </c>
      <c r="H17" s="31" t="s">
        <v>22</v>
      </c>
      <c r="I17" s="30" t="s">
        <v>23</v>
      </c>
      <c r="J17" s="31" t="s">
        <v>14</v>
      </c>
    </row>
    <row r="19" spans="2:10" x14ac:dyDescent="0.25">
      <c r="B19" s="24">
        <f>Tabela3[[#All],[Coluna2]]*C7</f>
        <v>5.625</v>
      </c>
      <c r="C19" s="34">
        <f>(C7/(4*C8*C10*120))</f>
        <v>2.8124999999999998E-4</v>
      </c>
      <c r="D19" s="25">
        <f>((1/31)*(C7/(C8*C8*(2.8125*10^-4)*(B19*0.1))))</f>
        <v>1.1010752688172042E-4</v>
      </c>
      <c r="E19" s="25">
        <f>(1/(2*PI()*(SQRT(C19*D19))))</f>
        <v>904.41001327529705</v>
      </c>
      <c r="F19" s="25">
        <f>(1/(2*PI()*(SQRT(Tabela3[[#All],[Coluna5]]*Tabela3[[#All],[Coluna6]]))))</f>
        <v>404.46445384301023</v>
      </c>
      <c r="G19" s="27">
        <v>3.6</v>
      </c>
      <c r="H19" s="29">
        <v>3</v>
      </c>
      <c r="I19" s="32">
        <f>((C5/(31*Tabela3[[#All],[Coluna5]]*(3.6*10^-5)*C8*C8)))*2</f>
        <v>1.935483870967742</v>
      </c>
      <c r="J19" s="35">
        <f>LEFT(C19,7)*10000</f>
        <v>2.8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valor">
                <anchor moveWithCells="1" sizeWithCells="1">
                  <from>
                    <xdr:col>1</xdr:col>
                    <xdr:colOff>9525</xdr:colOff>
                    <xdr:row>20</xdr:row>
                    <xdr:rowOff>9525</xdr:rowOff>
                  </from>
                  <to>
                    <xdr:col>2</xdr:col>
                    <xdr:colOff>523875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alculavalor2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4</xdr:col>
                    <xdr:colOff>419100</xdr:colOff>
                    <xdr:row>25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Arthur</cp:lastModifiedBy>
  <dcterms:created xsi:type="dcterms:W3CDTF">2020-04-11T14:13:41Z</dcterms:created>
  <dcterms:modified xsi:type="dcterms:W3CDTF">2020-04-26T16:19:06Z</dcterms:modified>
</cp:coreProperties>
</file>